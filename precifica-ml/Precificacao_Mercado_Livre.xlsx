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Base de Produ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<sst xmlns="http://schemas.openxmlformats.org/spreadsheetml/2006/main" count="86" uniqueCount="82">
  <si>
    <t xml:space="preserve">Calculadora de Preço — Mercado Livre</t>
  </si>
  <si>
    <t xml:space="preserve">Preencha só as células amarelas. O resto é automático.</t>
  </si>
  <si>
    <t xml:space="preserve">① Preencha</t>
  </si>
  <si>
    <t xml:space="preserve">② Dados puxados da base</t>
  </si>
  <si>
    <t xml:space="preserve">Tipo de produto</t>
  </si>
  <si>
    <t xml:space="preserve">Eletrônicos, Áudio e Vídeo</t>
  </si>
  <si>
    <t xml:space="preserve">Tarifa ML</t>
  </si>
  <si>
    <t xml:space="preserve">Origem</t>
  </si>
  <si>
    <t xml:space="preserve">Nacional</t>
  </si>
  <si>
    <t xml:space="preserve">Imposto sobre a venda</t>
  </si>
  <si>
    <t xml:space="preserve">Valor de compra (R$ por unidade)</t>
  </si>
  <si>
    <t xml:space="preserve">Imposto de importação</t>
  </si>
  <si>
    <t xml:space="preserve">Frete da compra (R$ por unidade)</t>
  </si>
  <si>
    <t xml:space="preserve">ICMS importação</t>
  </si>
  <si>
    <t xml:space="preserve">Lucro desejado</t>
  </si>
  <si>
    <t xml:space="preserve">Embalagem</t>
  </si>
  <si>
    <t xml:space="preserve">Tipo de anúncio</t>
  </si>
  <si>
    <t xml:space="preserve">Clássico</t>
  </si>
  <si>
    <t xml:space="preserve">Mercado Ads + devoluções</t>
  </si>
  <si>
    <t xml:space="preserve">Frete de envio ao cliente (R$) — opcional</t>
  </si>
  <si>
    <t xml:space="preserve">Envio ao cliente: valor do Simulador de Custos do ML para o seu produto. Deixe 0 se o comprador paga.</t>
  </si>
  <si>
    <t xml:space="preserve">③ Custo do produto</t>
  </si>
  <si>
    <t xml:space="preserve">⑤ Compare: preço para cada % de lucro</t>
  </si>
  <si>
    <t xml:space="preserve">Compra + frete</t>
  </si>
  <si>
    <t xml:space="preserve">Lucro</t>
  </si>
  <si>
    <t xml:space="preserve">Preço Clássico</t>
  </si>
  <si>
    <t xml:space="preserve">Lucro R$</t>
  </si>
  <si>
    <t xml:space="preserve">Preço Premium</t>
  </si>
  <si>
    <t xml:space="preserve">Impostos de importação</t>
  </si>
  <si>
    <t xml:space="preserve">Embalagem + envio ao cliente</t>
  </si>
  <si>
    <t xml:space="preserve">CUSTO TOTAL POR UNIDADE</t>
  </si>
  <si>
    <t xml:space="preserve">④ Preço sugerido</t>
  </si>
  <si>
    <t xml:space="preserve">PREÇO DE VENDA</t>
  </si>
  <si>
    <t xml:space="preserve">Lucro por venda</t>
  </si>
  <si>
    <t xml:space="preserve">Margem de lucro real</t>
  </si>
  <si>
    <t xml:space="preserve">Mercado Livre cobra (tarifa)</t>
  </si>
  <si>
    <t xml:space="preserve">Ads + devoluções</t>
  </si>
  <si>
    <t xml:space="preserve">A linha verde é o lucro que você escolheu. Premium = parcelamento em 12x sem juros e tarifa maior.</t>
  </si>
  <si>
    <t xml:space="preserve">Base de Produtos</t>
  </si>
  <si>
    <t xml:space="preserve">Edite os valores amarelos. A Calculadora puxa tudo daqui pelo tipo de produto.</t>
  </si>
  <si>
    <t xml:space="preserve">Tarifa ML
Clássico</t>
  </si>
  <si>
    <t xml:space="preserve">Tarifa ML
Premium</t>
  </si>
  <si>
    <t xml:space="preserve">Imposto sobre
a venda</t>
  </si>
  <si>
    <t xml:space="preserve">Imposto de
importação</t>
  </si>
  <si>
    <t xml:space="preserve">ICMS
importação</t>
  </si>
  <si>
    <t xml:space="preserve">Embalagem
(R$ por unidade)</t>
  </si>
  <si>
    <t xml:space="preserve">Configurações gerais</t>
  </si>
  <si>
    <t xml:space="preserve">Acessórios para Veículos</t>
  </si>
  <si>
    <t xml:space="preserve">Mercado Ads (% das vendas)</t>
  </si>
  <si>
    <t xml:space="preserve">Agro</t>
  </si>
  <si>
    <t xml:space="preserve">Devoluções / perdas (%)</t>
  </si>
  <si>
    <t xml:space="preserve">Alimentos e Bebidas</t>
  </si>
  <si>
    <t xml:space="preserve">Use 0% em Ads se não anuncia no Mercado Ads.</t>
  </si>
  <si>
    <t xml:space="preserve">Antiguidades e Coleções</t>
  </si>
  <si>
    <t xml:space="preserve">Arte, Papelaria e Armarinho</t>
  </si>
  <si>
    <t xml:space="preserve">Opções de lucro</t>
  </si>
  <si>
    <t xml:space="preserve">Bebês</t>
  </si>
  <si>
    <t xml:space="preserve">Beleza e Cuidado Pessoal</t>
  </si>
  <si>
    <t xml:space="preserve">Brinquedos e Hobbies</t>
  </si>
  <si>
    <t xml:space="preserve">Calçados, Roupas e Bolsas</t>
  </si>
  <si>
    <t xml:space="preserve">Câmeras e Acessórios</t>
  </si>
  <si>
    <t xml:space="preserve">Casa, Móveis e Decoração</t>
  </si>
  <si>
    <t xml:space="preserve">Celulares e Telefones</t>
  </si>
  <si>
    <t xml:space="preserve">Construção</t>
  </si>
  <si>
    <t xml:space="preserve">Eletrodomésticos</t>
  </si>
  <si>
    <t xml:space="preserve">Esportes e Fitness</t>
  </si>
  <si>
    <t xml:space="preserve">Altere para as margens que você usa.</t>
  </si>
  <si>
    <t xml:space="preserve">Festas e Lembrancinhas</t>
  </si>
  <si>
    <t xml:space="preserve">Games</t>
  </si>
  <si>
    <t xml:space="preserve">Indústria e Comércio</t>
  </si>
  <si>
    <t xml:space="preserve">Informática</t>
  </si>
  <si>
    <t xml:space="preserve">Instrumentos Musicais</t>
  </si>
  <si>
    <t xml:space="preserve">Joias e Relógios</t>
  </si>
  <si>
    <t xml:space="preserve">Livros, Revistas e Comics</t>
  </si>
  <si>
    <t xml:space="preserve">Música, Filmes e Seriados</t>
  </si>
  <si>
    <t xml:space="preserve">Pet Shop</t>
  </si>
  <si>
    <t xml:space="preserve">Saúde</t>
  </si>
  <si>
    <t xml:space="preserve">Linhas em branco acima: cadastre seus próprios tipos de produto.</t>
  </si>
  <si>
    <t xml:space="preserve">Fontes e observações</t>
  </si>
  <si>
    <t xml:space="preserve">• Tarifa ML: média de cada categoria, conferida em 13/10/2026 (priceva.com/pt/calculadora-taxas-mercado-livre). A tarifa exata da sua subcategoria aparece no Simulador de Custos do Mercado Livre.</t>
  </si>
  <si>
    <t xml:space="preserve">• Imposto sobre a venda: 6% é um valor de exemplo (Simples Nacional). Coloque a alíquota que seu contador indicar para cada tipo de produto.</t>
  </si>
  <si>
    <t xml:space="preserve">• Imposto de importação e ICMS só são usados quando a origem é Internacional. 30% e 20% são valores de referência para compras via Remessa Conforme acima de US$ 50 (compras até US$ 50 têm imposto federal zerado desde 13/05/2026). Ajuste conforme sua forma de importar.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</si>
</sst>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&quot;R$ &quot;#,##0.00;[RED]&quot;-R$ &quot;#,##0.00;\-"/>
    <numFmt numFmtId="167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2A5C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i val="true"/>
      <sz val="9"/>
      <color rgb="FFE651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2A5C"/>
      <name val="Arial"/>
      <family val="0"/>
      <charset val="1"/>
    </font>
    <font>
      <sz val="10"/>
      <color rgb="FF44444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4C2"/>
        <bgColor rgb="FFFFFBEA"/>
      </patternFill>
    </fill>
    <fill>
      <patternFill patternType="solid">
        <fgColor rgb="FFF2F3F7"/>
        <bgColor rgb="FFFFFBEA"/>
      </patternFill>
    </fill>
    <fill>
      <patternFill patternType="solid">
        <fgColor rgb="FF1F2A5C"/>
        <bgColor rgb="FF222222"/>
      </patternFill>
    </fill>
    <fill>
      <patternFill patternType="solid">
        <fgColor rgb="FF2E7D32"/>
        <bgColor rgb="FF1B5E20"/>
      </patternFill>
    </fill>
    <fill>
      <patternFill patternType="solid">
        <fgColor rgb="FFDFF2E1"/>
        <bgColor rgb="FFF2F3F7"/>
      </patternFill>
    </fill>
    <fill>
      <patternFill patternType="solid">
        <fgColor rgb="FFFFFFFF"/>
        <bgColor rgb="FFFFFBEA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D6"/>
      </left>
      <right style="thin">
        <color rgb="FFC9CCD6"/>
      </right>
      <top style="thin">
        <color rgb="FFC9CCD6"/>
      </top>
      <bottom style="thin">
        <color rgb="FFC9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CD6"/>
      <rgbColor rgb="FF808080"/>
      <rgbColor rgb="FF9999FF"/>
      <rgbColor rgb="FF993366"/>
      <rgbColor rgb="FFFFF4C2"/>
      <rgbColor rgb="FFF2F3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DFF2E1"/>
      <rgbColor rgb="FFFFF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1F2A5C"/>
      <rgbColor rgb="FF2E7D32"/>
      <rgbColor rgb="FF1B5E20"/>
      <rgbColor rgb="FF444444"/>
      <rgbColor rgb="FFC62828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9" min="6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E5" s="3" t="s">
        <v>3</v>
      </c>
    </row>
    <row r="6" customFormat="false" ht="24" hidden="false" customHeight="true" outlineLevel="0" collapsed="false">
      <c r="B6" s="4" t="s">
        <v>4</v>
      </c>
      <c r="C6" s="5" t="s">
        <v>5</v>
      </c>
      <c r="E6" s="6" t="s">
        <v>6</v>
      </c>
      <c r="F6" s="7" t="n">
        <f aca="false">IFERROR(INDEX('Base de Produtos'!$B$6:$H$36,MATCH($C$6,'Base de Produtos'!$B$6:$B$36,0),IF($C$11="Premium",3,2)),0)</f>
        <v>0.13</v>
      </c>
    </row>
    <row r="7" customFormat="false" ht="24" hidden="false" customHeight="true" outlineLevel="0" collapsed="false">
      <c r="B7" s="4" t="s">
        <v>7</v>
      </c>
      <c r="C7" s="5" t="s">
        <v>8</v>
      </c>
      <c r="E7" s="6" t="s">
        <v>9</v>
      </c>
      <c r="F7" s="7" t="n">
        <f aca="false">IFERROR(INDEX('Base de Produtos'!$B$6:$H$36,MATCH($C$6,'Base de Produtos'!$B$6:$B$36,0),4),0)</f>
        <v>0.06</v>
      </c>
    </row>
    <row r="8" customFormat="false" ht="24" hidden="false" customHeight="true" outlineLevel="0" collapsed="false">
      <c r="B8" s="4" t="s">
        <v>10</v>
      </c>
      <c r="C8" s="8" t="n">
        <v>45</v>
      </c>
      <c r="E8" s="6" t="s">
        <v>11</v>
      </c>
      <c r="F8" s="7" t="n">
        <f aca="false">IF($C$7="Internacional",IFERROR(INDEX('Base de Produtos'!$B$6:$H$36,MATCH($C$6,'Base de Produtos'!$B$6:$B$36,0),5),0),0)</f>
        <v>0</v>
      </c>
    </row>
    <row r="9" customFormat="false" ht="24" hidden="false" customHeight="true" outlineLevel="0" collapsed="false">
      <c r="B9" s="4" t="s">
        <v>12</v>
      </c>
      <c r="C9" s="8" t="n">
        <v>5</v>
      </c>
      <c r="E9" s="6" t="s">
        <v>13</v>
      </c>
      <c r="F9" s="7" t="n">
        <f aca="false">IF($C$7="Internacional",IFERROR(INDEX('Base de Produtos'!$B$6:$H$36,MATCH($C$6,'Base de Produtos'!$B$6:$B$36,0),6),0),0)</f>
        <v>0</v>
      </c>
    </row>
    <row r="10" customFormat="false" ht="24" hidden="false" customHeight="true" outlineLevel="0" collapsed="false">
      <c r="B10" s="4" t="s">
        <v>14</v>
      </c>
      <c r="C10" s="9" t="n">
        <v>0.2</v>
      </c>
      <c r="E10" s="6" t="s">
        <v>15</v>
      </c>
      <c r="F10" s="10" t="n">
        <f aca="false">IFERROR(INDEX('Base de Produtos'!$B$6:$H$36,MATCH($C$6,'Base de Produtos'!$B$6:$B$36,0),7),0)</f>
        <v>2</v>
      </c>
    </row>
    <row r="11" customFormat="false" ht="24" hidden="false" customHeight="true" outlineLevel="0" collapsed="false">
      <c r="B11" s="4" t="s">
        <v>16</v>
      </c>
      <c r="C11" s="5" t="s">
        <v>17</v>
      </c>
      <c r="E11" s="6" t="s">
        <v>18</v>
      </c>
      <c r="F11" s="7" t="n">
        <f aca="false">'Base de Produtos'!$K$6+'Base de Produtos'!$K$7</f>
        <v>0.02</v>
      </c>
    </row>
    <row r="12" customFormat="false" ht="24" hidden="false" customHeight="true" outlineLevel="0" collapsed="false">
      <c r="B12" s="4" t="s">
        <v>19</v>
      </c>
      <c r="C12" s="8" t="n">
        <v>0</v>
      </c>
      <c r="E12" s="11" t="str">
        <f aca="false">IF(ISNA(MATCH($C$6,'Base de Produtos'!$B$6:$B$36,0)),"⚠ Tipo de produto não encontrado na base","")</f>
        <v/>
      </c>
    </row>
    <row r="13" customFormat="false" ht="15" hidden="false" customHeight="false" outlineLevel="0" collapsed="false">
      <c r="B13" s="12" t="s">
        <v>20</v>
      </c>
      <c r="C13" s="12"/>
    </row>
    <row r="15" customFormat="false" ht="15" hidden="false" customHeight="false" outlineLevel="0" collapsed="false">
      <c r="B15" s="3" t="s">
        <v>21</v>
      </c>
      <c r="E15" s="3" t="s">
        <v>22</v>
      </c>
    </row>
    <row r="16" customFormat="false" ht="15" hidden="false" customHeight="false" outlineLevel="0" collapsed="false">
      <c r="B16" s="13" t="s">
        <v>23</v>
      </c>
      <c r="C16" s="14" t="n">
        <f aca="false">$C$8+$C$9</f>
        <v>50</v>
      </c>
      <c r="E16" s="15" t="s">
        <v>24</v>
      </c>
      <c r="F16" s="15" t="s">
        <v>25</v>
      </c>
      <c r="G16" s="15" t="s">
        <v>26</v>
      </c>
      <c r="H16" s="15" t="s">
        <v>27</v>
      </c>
      <c r="I16" s="15" t="s">
        <v>26</v>
      </c>
    </row>
    <row r="17" customFormat="false" ht="15" hidden="false" customHeight="false" outlineLevel="0" collapsed="false">
      <c r="B17" s="13" t="s">
        <v>28</v>
      </c>
      <c r="C17" s="14" t="n">
        <f aca="false">IF($C$7="Internacional",($C$8+$C$9)*(1+$F$8)/(1-$F$9)-($C$8+$C$9),0)</f>
        <v>0</v>
      </c>
      <c r="E17" s="16" t="n">
        <f aca="false">'Base de Produtos'!J11</f>
        <v>0.05</v>
      </c>
      <c r="F17" s="17" t="n">
        <f aca="false">IF(OR($C$8="",$E17=""),"",IF((1-IFERROR(INDEX('Base de Produtos'!$B$6:$H$36,MATCH($C$6,'Base de Produtos'!$B$6:$B$36,0),2),0)-$F$7-$F$11-$E17)&lt;=0,"—",CEILING($C$19/(1-IFERROR(INDEX('Base de Produtos'!$B$6:$H$36,MATCH($C$6,'Base de Produtos'!$B$6:$B$36,0),2),0)-$F$7-$F$11-$E17)+0.1,1)-0.1))</f>
        <v>70.9</v>
      </c>
      <c r="G17" s="17" t="n">
        <f aca="false">IF(ISNUMBER(F17),F17*(1-IFERROR(INDEX('Base de Produtos'!$B$6:$H$36,MATCH($C$6,'Base de Produtos'!$B$6:$B$36,0),2),0)-$F$7-$F$11)-$C$19,"")</f>
        <v>4.01100000000001</v>
      </c>
      <c r="H17" s="17" t="n">
        <f aca="false">IF(OR($C$8="",$E17=""),"",IF((1-IFERROR(INDEX('Base de Produtos'!$B$6:$H$36,MATCH($C$6,'Base de Produtos'!$B$6:$B$36,0),3),0)-$F$7-$F$11-$E17)&lt;=0,"—",CEILING($C$19/(1-IFERROR(INDEX('Base de Produtos'!$B$6:$H$36,MATCH($C$6,'Base de Produtos'!$B$6:$B$36,0),3),0)-$F$7-$F$11-$E17)+0.1,1)-0.1))</f>
        <v>75.9</v>
      </c>
      <c r="I17" s="17" t="n">
        <f aca="false">IF(ISNUMBER(H17),H17*(1-IFERROR(INDEX('Base de Produtos'!$B$6:$H$36,MATCH($C$6,'Base de Produtos'!$B$6:$B$36,0),3),0)-$F$7-$F$11)-$C$19,"")</f>
        <v>4.166</v>
      </c>
    </row>
    <row r="18" customFormat="false" ht="15" hidden="false" customHeight="false" outlineLevel="0" collapsed="false">
      <c r="B18" s="13" t="s">
        <v>29</v>
      </c>
      <c r="C18" s="14" t="n">
        <f aca="false">$F$10+$C$12</f>
        <v>2</v>
      </c>
      <c r="E18" s="16" t="n">
        <f aca="false">'Base de Produtos'!J12</f>
        <v>0.1</v>
      </c>
      <c r="F18" s="17" t="n">
        <f aca="false">IF(OR($C$8="",$E18=""),"",IF((1-IFERROR(INDEX('Base de Produtos'!$B$6:$H$36,MATCH($C$6,'Base de Produtos'!$B$6:$B$36,0),2),0)-$F$7-$F$11-$E18)&lt;=0,"—",CEILING($C$19/(1-IFERROR(INDEX('Base de Produtos'!$B$6:$H$36,MATCH($C$6,'Base de Produtos'!$B$6:$B$36,0),2),0)-$F$7-$F$11-$E18)+0.1,1)-0.1))</f>
        <v>75.9</v>
      </c>
      <c r="G18" s="17" t="n">
        <f aca="false">IF(ISNUMBER(F18),F18*(1-IFERROR(INDEX('Base de Produtos'!$B$6:$H$36,MATCH($C$6,'Base de Produtos'!$B$6:$B$36,0),2),0)-$F$7-$F$11)-$C$19,"")</f>
        <v>7.96100000000001</v>
      </c>
      <c r="H18" s="17" t="n">
        <f aca="false">IF(OR($C$8="",$E18=""),"",IF((1-IFERROR(INDEX('Base de Produtos'!$B$6:$H$36,MATCH($C$6,'Base de Produtos'!$B$6:$B$36,0),3),0)-$F$7-$F$11-$E18)&lt;=0,"—",CEILING($C$19/(1-IFERROR(INDEX('Base de Produtos'!$B$6:$H$36,MATCH($C$6,'Base de Produtos'!$B$6:$B$36,0),3),0)-$F$7-$F$11-$E18)+0.1,1)-0.1))</f>
        <v>81.9</v>
      </c>
      <c r="I18" s="17" t="n">
        <f aca="false">IF(ISNUMBER(H18),H18*(1-IFERROR(INDEX('Base de Produtos'!$B$6:$H$36,MATCH($C$6,'Base de Produtos'!$B$6:$B$36,0),3),0)-$F$7-$F$11)-$C$19,"")</f>
        <v>8.606</v>
      </c>
    </row>
    <row r="19" customFormat="false" ht="15" hidden="false" customHeight="false" outlineLevel="0" collapsed="false">
      <c r="B19" s="18" t="s">
        <v>30</v>
      </c>
      <c r="C19" s="19" t="n">
        <f aca="false">SUM(C16:C18)</f>
        <v>52</v>
      </c>
      <c r="E19" s="16" t="n">
        <f aca="false">'Base de Produtos'!J13</f>
        <v>0.15</v>
      </c>
      <c r="F19" s="17" t="n">
        <f aca="false">IF(OR($C$8="",$E19=""),"",IF((1-IFERROR(INDEX('Base de Produtos'!$B$6:$H$36,MATCH($C$6,'Base de Produtos'!$B$6:$B$36,0),2),0)-$F$7-$F$11-$E19)&lt;=0,"—",CEILING($C$19/(1-IFERROR(INDEX('Base de Produtos'!$B$6:$H$36,MATCH($C$6,'Base de Produtos'!$B$6:$B$36,0),2),0)-$F$7-$F$11-$E19)+0.1,1)-0.1))</f>
        <v>81.9</v>
      </c>
      <c r="G19" s="17" t="n">
        <f aca="false">IF(ISNUMBER(F19),F19*(1-IFERROR(INDEX('Base de Produtos'!$B$6:$H$36,MATCH($C$6,'Base de Produtos'!$B$6:$B$36,0),2),0)-$F$7-$F$11)-$C$19,"")</f>
        <v>12.701</v>
      </c>
      <c r="H19" s="17" t="n">
        <f aca="false">IF(OR($C$8="",$E19=""),"",IF((1-IFERROR(INDEX('Base de Produtos'!$B$6:$H$36,MATCH($C$6,'Base de Produtos'!$B$6:$B$36,0),3),0)-$F$7-$F$11-$E19)&lt;=0,"—",CEILING($C$19/(1-IFERROR(INDEX('Base de Produtos'!$B$6:$H$36,MATCH($C$6,'Base de Produtos'!$B$6:$B$36,0),3),0)-$F$7-$F$11-$E19)+0.1,1)-0.1))</f>
        <v>88.9</v>
      </c>
      <c r="I19" s="17" t="n">
        <f aca="false">IF(ISNUMBER(H19),H19*(1-IFERROR(INDEX('Base de Produtos'!$B$6:$H$36,MATCH($C$6,'Base de Produtos'!$B$6:$B$36,0),3),0)-$F$7-$F$11)-$C$19,"")</f>
        <v>13.786</v>
      </c>
    </row>
    <row r="20" customFormat="false" ht="15" hidden="false" customHeight="false" outlineLevel="0" collapsed="false">
      <c r="E20" s="16" t="n">
        <f aca="false">'Base de Produtos'!J14</f>
        <v>0.2</v>
      </c>
      <c r="F20" s="17" t="n">
        <f aca="false">IF(OR($C$8="",$E20=""),"",IF((1-IFERROR(INDEX('Base de Produtos'!$B$6:$H$36,MATCH($C$6,'Base de Produtos'!$B$6:$B$36,0),2),0)-$F$7-$F$11-$E20)&lt;=0,"—",CEILING($C$19/(1-IFERROR(INDEX('Base de Produtos'!$B$6:$H$36,MATCH($C$6,'Base de Produtos'!$B$6:$B$36,0),2),0)-$F$7-$F$11-$E20)+0.1,1)-0.1))</f>
        <v>88.9</v>
      </c>
      <c r="G20" s="17" t="n">
        <f aca="false">IF(ISNUMBER(F20),F20*(1-IFERROR(INDEX('Base de Produtos'!$B$6:$H$36,MATCH($C$6,'Base de Produtos'!$B$6:$B$36,0),2),0)-$F$7-$F$11)-$C$19,"")</f>
        <v>18.231</v>
      </c>
      <c r="H20" s="17" t="n">
        <f aca="false">IF(OR($C$8="",$E20=""),"",IF((1-IFERROR(INDEX('Base de Produtos'!$B$6:$H$36,MATCH($C$6,'Base de Produtos'!$B$6:$B$36,0),3),0)-$F$7-$F$11-$E20)&lt;=0,"—",CEILING($C$19/(1-IFERROR(INDEX('Base de Produtos'!$B$6:$H$36,MATCH($C$6,'Base de Produtos'!$B$6:$B$36,0),3),0)-$F$7-$F$11-$E20)+0.1,1)-0.1))</f>
        <v>96.9</v>
      </c>
      <c r="I20" s="17" t="n">
        <f aca="false">IF(ISNUMBER(H20),H20*(1-IFERROR(INDEX('Base de Produtos'!$B$6:$H$36,MATCH($C$6,'Base de Produtos'!$B$6:$B$36,0),3),0)-$F$7-$F$11)-$C$19,"")</f>
        <v>19.706</v>
      </c>
    </row>
    <row r="21" customFormat="false" ht="15" hidden="false" customHeight="false" outlineLevel="0" collapsed="false">
      <c r="B21" s="3" t="s">
        <v>31</v>
      </c>
      <c r="E21" s="16" t="n">
        <f aca="false">'Base de Produtos'!J15</f>
        <v>0.25</v>
      </c>
      <c r="F21" s="17" t="n">
        <f aca="false">IF(OR($C$8="",$E21=""),"",IF((1-IFERROR(INDEX('Base de Produtos'!$B$6:$H$36,MATCH($C$6,'Base de Produtos'!$B$6:$B$36,0),2),0)-$F$7-$F$11-$E21)&lt;=0,"—",CEILING($C$19/(1-IFERROR(INDEX('Base de Produtos'!$B$6:$H$36,MATCH($C$6,'Base de Produtos'!$B$6:$B$36,0),2),0)-$F$7-$F$11-$E21)+0.1,1)-0.1))</f>
        <v>96.9</v>
      </c>
      <c r="G21" s="17" t="n">
        <f aca="false">IF(ISNUMBER(F21),F21*(1-IFERROR(INDEX('Base de Produtos'!$B$6:$H$36,MATCH($C$6,'Base de Produtos'!$B$6:$B$36,0),2),0)-$F$7-$F$11)-$C$19,"")</f>
        <v>24.551</v>
      </c>
      <c r="H21" s="17" t="n">
        <f aca="false">IF(OR($C$8="",$E21=""),"",IF((1-IFERROR(INDEX('Base de Produtos'!$B$6:$H$36,MATCH($C$6,'Base de Produtos'!$B$6:$B$36,0),3),0)-$F$7-$F$11-$E21)&lt;=0,"—",CEILING($C$19/(1-IFERROR(INDEX('Base de Produtos'!$B$6:$H$36,MATCH($C$6,'Base de Produtos'!$B$6:$B$36,0),3),0)-$F$7-$F$11-$E21)+0.1,1)-0.1))</f>
        <v>106.9</v>
      </c>
      <c r="I21" s="17" t="n">
        <f aca="false">IF(ISNUMBER(H21),H21*(1-IFERROR(INDEX('Base de Produtos'!$B$6:$H$36,MATCH($C$6,'Base de Produtos'!$B$6:$B$36,0),3),0)-$F$7-$F$11)-$C$19,"")</f>
        <v>27.106</v>
      </c>
    </row>
    <row r="22" customFormat="false" ht="39.75" hidden="false" customHeight="true" outlineLevel="0" collapsed="false">
      <c r="B22" s="20" t="s">
        <v>32</v>
      </c>
      <c r="C22" s="21" t="n">
        <f aca="false">IF($C$8="","",IF((1-$F$6-$F$7-$F$11-$C$10)&lt;=0,"Lucro alto demais",CEILING($C$19/(1-$F$6-$F$7-$F$11-$C$10)+0.1,1)-0.1))</f>
        <v>88.9</v>
      </c>
      <c r="E22" s="16" t="n">
        <f aca="false">'Base de Produtos'!J16</f>
        <v>0.3</v>
      </c>
      <c r="F22" s="17" t="n">
        <f aca="false">IF(OR($C$8="",$E22=""),"",IF((1-IFERROR(INDEX('Base de Produtos'!$B$6:$H$36,MATCH($C$6,'Base de Produtos'!$B$6:$B$36,0),2),0)-$F$7-$F$11-$E22)&lt;=0,"—",CEILING($C$19/(1-IFERROR(INDEX('Base de Produtos'!$B$6:$H$36,MATCH($C$6,'Base de Produtos'!$B$6:$B$36,0),2),0)-$F$7-$F$11-$E22)+0.1,1)-0.1))</f>
        <v>106.9</v>
      </c>
      <c r="G22" s="17" t="n">
        <f aca="false">IF(ISNUMBER(F22),F22*(1-IFERROR(INDEX('Base de Produtos'!$B$6:$H$36,MATCH($C$6,'Base de Produtos'!$B$6:$B$36,0),2),0)-$F$7-$F$11)-$C$19,"")</f>
        <v>32.451</v>
      </c>
      <c r="H22" s="17" t="n">
        <f aca="false">IF(OR($C$8="",$E22=""),"",IF((1-IFERROR(INDEX('Base de Produtos'!$B$6:$H$36,MATCH($C$6,'Base de Produtos'!$B$6:$B$36,0),3),0)-$F$7-$F$11-$E22)&lt;=0,"—",CEILING($C$19/(1-IFERROR(INDEX('Base de Produtos'!$B$6:$H$36,MATCH($C$6,'Base de Produtos'!$B$6:$B$36,0),3),0)-$F$7-$F$11-$E22)+0.1,1)-0.1))</f>
        <v>118.9</v>
      </c>
      <c r="I22" s="17" t="n">
        <f aca="false">IF(ISNUMBER(H22),H22*(1-IFERROR(INDEX('Base de Produtos'!$B$6:$H$36,MATCH($C$6,'Base de Produtos'!$B$6:$B$36,0),3),0)-$F$7-$F$11)-$C$19,"")</f>
        <v>35.986</v>
      </c>
    </row>
    <row r="23" customFormat="false" ht="15" hidden="false" customHeight="false" outlineLevel="0" collapsed="false">
      <c r="B23" s="22" t="s">
        <v>33</v>
      </c>
      <c r="C23" s="23" t="n">
        <f aca="false">IF(ISNUMBER($C$22),$C$22*(1-$F$6-$F$7-$F$11)-$C$19,"")</f>
        <v>18.231</v>
      </c>
      <c r="E23" s="16" t="n">
        <f aca="false">'Base de Produtos'!J17</f>
        <v>0.35</v>
      </c>
      <c r="F23" s="17" t="n">
        <f aca="false">IF(OR($C$8="",$E23=""),"",IF((1-IFERROR(INDEX('Base de Produtos'!$B$6:$H$36,MATCH($C$6,'Base de Produtos'!$B$6:$B$36,0),2),0)-$F$7-$F$11-$E23)&lt;=0,"—",CEILING($C$19/(1-IFERROR(INDEX('Base de Produtos'!$B$6:$H$36,MATCH($C$6,'Base de Produtos'!$B$6:$B$36,0),2),0)-$F$7-$F$11-$E23)+0.1,1)-0.1))</f>
        <v>118.9</v>
      </c>
      <c r="G23" s="17" t="n">
        <f aca="false">IF(ISNUMBER(F23),F23*(1-IFERROR(INDEX('Base de Produtos'!$B$6:$H$36,MATCH($C$6,'Base de Produtos'!$B$6:$B$36,0),2),0)-$F$7-$F$11)-$C$19,"")</f>
        <v>41.931</v>
      </c>
      <c r="H23" s="17" t="n">
        <f aca="false">IF(OR($C$8="",$E23=""),"",IF((1-IFERROR(INDEX('Base de Produtos'!$B$6:$H$36,MATCH($C$6,'Base de Produtos'!$B$6:$B$36,0),3),0)-$F$7-$F$11-$E23)&lt;=0,"—",CEILING($C$19/(1-IFERROR(INDEX('Base de Produtos'!$B$6:$H$36,MATCH($C$6,'Base de Produtos'!$B$6:$B$36,0),3),0)-$F$7-$F$11-$E23)+0.1,1)-0.1))</f>
        <v>133.9</v>
      </c>
      <c r="I23" s="17" t="n">
        <f aca="false">IF(ISNUMBER(H23),H23*(1-IFERROR(INDEX('Base de Produtos'!$B$6:$H$36,MATCH($C$6,'Base de Produtos'!$B$6:$B$36,0),3),0)-$F$7-$F$11)-$C$19,"")</f>
        <v>47.086</v>
      </c>
    </row>
    <row r="24" customFormat="false" ht="15" hidden="false" customHeight="false" outlineLevel="0" collapsed="false">
      <c r="B24" s="24" t="s">
        <v>34</v>
      </c>
      <c r="C24" s="25" t="n">
        <f aca="false">IF(ISNUMBER($C$22),C23/$C$22,"")</f>
        <v>0.205073115860518</v>
      </c>
      <c r="E24" s="16" t="n">
        <f aca="false">'Base de Produtos'!J18</f>
        <v>0.4</v>
      </c>
      <c r="F24" s="17" t="n">
        <f aca="false">IF(OR($C$8="",$E24=""),"",IF((1-IFERROR(INDEX('Base de Produtos'!$B$6:$H$36,MATCH($C$6,'Base de Produtos'!$B$6:$B$36,0),2),0)-$F$7-$F$11-$E24)&lt;=0,"—",CEILING($C$19/(1-IFERROR(INDEX('Base de Produtos'!$B$6:$H$36,MATCH($C$6,'Base de Produtos'!$B$6:$B$36,0),2),0)-$F$7-$F$11-$E24)+0.1,1)-0.1))</f>
        <v>133.9</v>
      </c>
      <c r="G24" s="17" t="n">
        <f aca="false">IF(ISNUMBER(F24),F24*(1-IFERROR(INDEX('Base de Produtos'!$B$6:$H$36,MATCH($C$6,'Base de Produtos'!$B$6:$B$36,0),2),0)-$F$7-$F$11)-$C$19,"")</f>
        <v>53.781</v>
      </c>
      <c r="H24" s="17" t="n">
        <f aca="false">IF(OR($C$8="",$E24=""),"",IF((1-IFERROR(INDEX('Base de Produtos'!$B$6:$H$36,MATCH($C$6,'Base de Produtos'!$B$6:$B$36,0),3),0)-$F$7-$F$11-$E24)&lt;=0,"—",CEILING($C$19/(1-IFERROR(INDEX('Base de Produtos'!$B$6:$H$36,MATCH($C$6,'Base de Produtos'!$B$6:$B$36,0),3),0)-$F$7-$F$11-$E24)+0.1,1)-0.1))</f>
        <v>153.9</v>
      </c>
      <c r="I24" s="17" t="n">
        <f aca="false">IF(ISNUMBER(H24),H24*(1-IFERROR(INDEX('Base de Produtos'!$B$6:$H$36,MATCH($C$6,'Base de Produtos'!$B$6:$B$36,0),3),0)-$F$7-$F$11)-$C$19,"")</f>
        <v>61.886</v>
      </c>
    </row>
    <row r="25" customFormat="false" ht="15" hidden="false" customHeight="false" outlineLevel="0" collapsed="false">
      <c r="B25" s="26" t="s">
        <v>35</v>
      </c>
      <c r="C25" s="27" t="n">
        <f aca="false">IF(ISNUMBER($C$22),$C$22*$F$6,"")</f>
        <v>11.557</v>
      </c>
      <c r="E25" s="16" t="n">
        <f aca="false">'Base de Produtos'!J19</f>
        <v>0.5</v>
      </c>
      <c r="F25" s="17" t="n">
        <f aca="false">IF(OR($C$8="",$E25=""),"",IF((1-IFERROR(INDEX('Base de Produtos'!$B$6:$H$36,MATCH($C$6,'Base de Produtos'!$B$6:$B$36,0),2),0)-$F$7-$F$11-$E25)&lt;=0,"—",CEILING($C$19/(1-IFERROR(INDEX('Base de Produtos'!$B$6:$H$36,MATCH($C$6,'Base de Produtos'!$B$6:$B$36,0),2),0)-$F$7-$F$11-$E25)+0.1,1)-0.1))</f>
        <v>179.9</v>
      </c>
      <c r="G25" s="17" t="n">
        <f aca="false">IF(ISNUMBER(F25),F25*(1-IFERROR(INDEX('Base de Produtos'!$B$6:$H$36,MATCH($C$6,'Base de Produtos'!$B$6:$B$36,0),2),0)-$F$7-$F$11)-$C$19,"")</f>
        <v>90.121</v>
      </c>
      <c r="H25" s="17" t="n">
        <f aca="false">IF(OR($C$8="",$E25=""),"",IF((1-IFERROR(INDEX('Base de Produtos'!$B$6:$H$36,MATCH($C$6,'Base de Produtos'!$B$6:$B$36,0),3),0)-$F$7-$F$11-$E25)&lt;=0,"—",CEILING($C$19/(1-IFERROR(INDEX('Base de Produtos'!$B$6:$H$36,MATCH($C$6,'Base de Produtos'!$B$6:$B$36,0),3),0)-$F$7-$F$11-$E25)+0.1,1)-0.1))</f>
        <v>216.9</v>
      </c>
      <c r="I25" s="17" t="n">
        <f aca="false">IF(ISNUMBER(H25),H25*(1-IFERROR(INDEX('Base de Produtos'!$B$6:$H$36,MATCH($C$6,'Base de Produtos'!$B$6:$B$36,0),3),0)-$F$7-$F$11)-$C$19,"")</f>
        <v>108.506</v>
      </c>
    </row>
    <row r="26" customFormat="false" ht="15" hidden="false" customHeight="false" outlineLevel="0" collapsed="false">
      <c r="B26" s="26" t="s">
        <v>9</v>
      </c>
      <c r="C26" s="27" t="n">
        <f aca="false">IF(ISNUMBER($C$22),$C$22*$F$7,"")</f>
        <v>5.334</v>
      </c>
      <c r="E26" s="16" t="n">
        <f aca="false">'Base de Produtos'!J20</f>
        <v>0.6</v>
      </c>
      <c r="F26" s="17" t="n">
        <f aca="false">IF(OR($C$8="",$E26=""),"",IF((1-IFERROR(INDEX('Base de Produtos'!$B$6:$H$36,MATCH($C$6,'Base de Produtos'!$B$6:$B$36,0),2),0)-$F$7-$F$11-$E26)&lt;=0,"—",CEILING($C$19/(1-IFERROR(INDEX('Base de Produtos'!$B$6:$H$36,MATCH($C$6,'Base de Produtos'!$B$6:$B$36,0),2),0)-$F$7-$F$11-$E26)+0.1,1)-0.1))</f>
        <v>273.9</v>
      </c>
      <c r="G26" s="17" t="n">
        <f aca="false">IF(ISNUMBER(F26),F26*(1-IFERROR(INDEX('Base de Produtos'!$B$6:$H$36,MATCH($C$6,'Base de Produtos'!$B$6:$B$36,0),2),0)-$F$7-$F$11)-$C$19,"")</f>
        <v>164.381</v>
      </c>
      <c r="H26" s="17" t="n">
        <f aca="false">IF(OR($C$8="",$E26=""),"",IF((1-IFERROR(INDEX('Base de Produtos'!$B$6:$H$36,MATCH($C$6,'Base de Produtos'!$B$6:$B$36,0),3),0)-$F$7-$F$11-$E26)&lt;=0,"—",CEILING($C$19/(1-IFERROR(INDEX('Base de Produtos'!$B$6:$H$36,MATCH($C$6,'Base de Produtos'!$B$6:$B$36,0),3),0)-$F$7-$F$11-$E26)+0.1,1)-0.1))</f>
        <v>371.9</v>
      </c>
      <c r="I26" s="17" t="n">
        <f aca="false">IF(ISNUMBER(H26),H26*(1-IFERROR(INDEX('Base de Produtos'!$B$6:$H$36,MATCH($C$6,'Base de Produtos'!$B$6:$B$36,0),3),0)-$F$7-$F$11)-$C$19,"")</f>
        <v>223.206</v>
      </c>
    </row>
    <row r="27" customFormat="false" ht="15" hidden="false" customHeight="false" outlineLevel="0" collapsed="false">
      <c r="B27" s="26" t="s">
        <v>36</v>
      </c>
      <c r="C27" s="27" t="n">
        <f aca="false">IF(ISNUMBER($C$22),$C$22*$F$11,"")</f>
        <v>1.778</v>
      </c>
      <c r="E27" s="28" t="s">
        <v>37</v>
      </c>
    </row>
    <row r="28" customFormat="false" ht="15" hidden="false" customHeight="false" outlineLevel="0" collapsed="false">
      <c r="B28" s="29" t="str">
        <f aca="false">IF(AND(ISNUMBER($C$22),$C$22&lt;79),"Abaixo de R$ 79: se usar Flex ou envio próprio, o ML cobra custo fixo (~R$ 6,25 a R$ 6,75). Some no frete de envio.","")</f>
        <v/>
      </c>
      <c r="C28" s="29"/>
    </row>
    <row r="29" customFormat="false" ht="15" hidden="false" customHeight="false" outlineLevel="0" collapsed="false">
      <c r="B29" s="29"/>
      <c r="C29" s="29"/>
    </row>
  </sheetData>
  <mergeCells count="2">
    <mergeCell ref="B13:C13"/>
    <mergeCell ref="B28:C29"/>
  </mergeCells>
  <conditionalFormatting sqref="E17:I26">
    <cfRule type="expression" priority="2" aboveAverage="0" equalAverage="0" bottom="0" percent="0" rank="0" text="" dxfId="0">
      <formula>ROUND($E17,4)=ROUND($C$10,4)</formula>
    </cfRule>
  </conditionalFormatting>
  <dataValidations count="4">
    <dataValidation allowBlank="false" errorStyle="stop" operator="between" showDropDown="false" showErrorMessage="true" showInputMessage="false" sqref="C6" type="list">
      <formula1>'Base de Produtos'!$B$6:$B$36</formula1>
      <formula2>0</formula2>
    </dataValidation>
    <dataValidation allowBlank="false" errorStyle="stop" operator="between" showDropDown="false" showErrorMessage="true" showInputMessage="false" sqref="C7" type="list">
      <formula1>"Nacional,Internacional"</formula1>
      <formula2>0</formula2>
    </dataValidation>
    <dataValidation allowBlank="false" errorStyle="stop" operator="between" showDropDown="false" showErrorMessage="false" showInputMessage="false" sqref="C10" type="list">
      <formula1>'Base de Produtos'!$J$11:$J$20</formula1>
      <formula2>0</formula2>
    </dataValidation>
    <dataValidation allowBlank="false" errorStyle="stop" operator="between" showDropDown="false" showErrorMessage="true" showInputMessage="false" sqref="C11" type="list">
      <formula1>"Clássico,Premium"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0" min="10" style="0" width="30"/>
    <col collapsed="false" customWidth="true" hidden="false" outlineLevel="0" max="11" min="11" style="0" width="10"/>
  </cols>
  <sheetData>
    <row r="2" customFormat="false" ht="22.05" hidden="false" customHeight="false" outlineLevel="0" collapsed="false">
      <c r="B2" s="1" t="s">
        <v>38</v>
      </c>
    </row>
    <row r="3" customFormat="false" ht="15" hidden="false" customHeight="false" outlineLevel="0" collapsed="false">
      <c r="B3" s="2" t="s">
        <v>39</v>
      </c>
    </row>
    <row r="5" customFormat="false" ht="33.75" hidden="false" customHeight="true" outlineLevel="0" collapsed="false">
      <c r="B5" s="15" t="s">
        <v>4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15" t="s">
        <v>45</v>
      </c>
      <c r="J5" s="30" t="s">
        <v>46</v>
      </c>
      <c r="K5" s="30"/>
    </row>
    <row r="6" customFormat="false" ht="15" hidden="false" customHeight="false" outlineLevel="0" collapsed="false">
      <c r="B6" s="31" t="s">
        <v>47</v>
      </c>
      <c r="C6" s="32" t="n">
        <v>0.12</v>
      </c>
      <c r="D6" s="32" t="n">
        <v>0.17</v>
      </c>
      <c r="E6" s="33" t="n">
        <v>0.06</v>
      </c>
      <c r="F6" s="33" t="n">
        <v>0.3</v>
      </c>
      <c r="G6" s="33" t="n">
        <v>0.2</v>
      </c>
      <c r="H6" s="34" t="n">
        <v>2</v>
      </c>
      <c r="J6" s="13" t="s">
        <v>48</v>
      </c>
      <c r="K6" s="32" t="n">
        <v>0</v>
      </c>
    </row>
    <row r="7" customFormat="false" ht="15" hidden="false" customHeight="false" outlineLevel="0" collapsed="false">
      <c r="B7" s="31" t="s">
        <v>49</v>
      </c>
      <c r="C7" s="32" t="n">
        <v>0.115</v>
      </c>
      <c r="D7" s="32" t="n">
        <v>0.165</v>
      </c>
      <c r="E7" s="33" t="n">
        <v>0.06</v>
      </c>
      <c r="F7" s="33" t="n">
        <v>0.3</v>
      </c>
      <c r="G7" s="33" t="n">
        <v>0.2</v>
      </c>
      <c r="H7" s="34" t="n">
        <v>2</v>
      </c>
      <c r="J7" s="13" t="s">
        <v>50</v>
      </c>
      <c r="K7" s="32" t="n">
        <v>0.02</v>
      </c>
    </row>
    <row r="8" customFormat="false" ht="15" hidden="false" customHeight="false" outlineLevel="0" collapsed="false">
      <c r="B8" s="31" t="s">
        <v>51</v>
      </c>
      <c r="C8" s="32" t="n">
        <v>0.14</v>
      </c>
      <c r="D8" s="32" t="n">
        <v>0.19</v>
      </c>
      <c r="E8" s="33" t="n">
        <v>0.06</v>
      </c>
      <c r="F8" s="33" t="n">
        <v>0.3</v>
      </c>
      <c r="G8" s="33" t="n">
        <v>0.2</v>
      </c>
      <c r="H8" s="34" t="n">
        <v>2</v>
      </c>
      <c r="J8" s="28" t="s">
        <v>52</v>
      </c>
    </row>
    <row r="9" customFormat="false" ht="15" hidden="false" customHeight="false" outlineLevel="0" collapsed="false">
      <c r="B9" s="31" t="s">
        <v>53</v>
      </c>
      <c r="C9" s="32" t="n">
        <v>0.115</v>
      </c>
      <c r="D9" s="32" t="n">
        <v>0.165</v>
      </c>
      <c r="E9" s="33" t="n">
        <v>0.06</v>
      </c>
      <c r="F9" s="33" t="n">
        <v>0.3</v>
      </c>
      <c r="G9" s="33" t="n">
        <v>0.2</v>
      </c>
      <c r="H9" s="34" t="n">
        <v>2</v>
      </c>
    </row>
    <row r="10" customFormat="false" ht="15" hidden="false" customHeight="false" outlineLevel="0" collapsed="false">
      <c r="B10" s="31" t="s">
        <v>54</v>
      </c>
      <c r="C10" s="32" t="n">
        <v>0.115</v>
      </c>
      <c r="D10" s="32" t="n">
        <v>0.165</v>
      </c>
      <c r="E10" s="33" t="n">
        <v>0.06</v>
      </c>
      <c r="F10" s="33" t="n">
        <v>0.3</v>
      </c>
      <c r="G10" s="33" t="n">
        <v>0.2</v>
      </c>
      <c r="H10" s="34" t="n">
        <v>2</v>
      </c>
      <c r="J10" s="35" t="s">
        <v>55</v>
      </c>
    </row>
    <row r="11" customFormat="false" ht="15" hidden="false" customHeight="false" outlineLevel="0" collapsed="false">
      <c r="B11" s="31" t="s">
        <v>56</v>
      </c>
      <c r="C11" s="32" t="n">
        <v>0.14</v>
      </c>
      <c r="D11" s="32" t="n">
        <v>0.19</v>
      </c>
      <c r="E11" s="33" t="n">
        <v>0.06</v>
      </c>
      <c r="F11" s="33" t="n">
        <v>0.3</v>
      </c>
      <c r="G11" s="33" t="n">
        <v>0.2</v>
      </c>
      <c r="H11" s="34" t="n">
        <v>2</v>
      </c>
      <c r="J11" s="33" t="n">
        <v>0.05</v>
      </c>
    </row>
    <row r="12" customFormat="false" ht="15" hidden="false" customHeight="false" outlineLevel="0" collapsed="false">
      <c r="B12" s="31" t="s">
        <v>57</v>
      </c>
      <c r="C12" s="32" t="n">
        <v>0.14</v>
      </c>
      <c r="D12" s="32" t="n">
        <v>0.19</v>
      </c>
      <c r="E12" s="33" t="n">
        <v>0.06</v>
      </c>
      <c r="F12" s="33" t="n">
        <v>0.3</v>
      </c>
      <c r="G12" s="33" t="n">
        <v>0.2</v>
      </c>
      <c r="H12" s="34" t="n">
        <v>2</v>
      </c>
      <c r="J12" s="33" t="n">
        <v>0.1</v>
      </c>
    </row>
    <row r="13" customFormat="false" ht="15" hidden="false" customHeight="false" outlineLevel="0" collapsed="false">
      <c r="B13" s="31" t="s">
        <v>58</v>
      </c>
      <c r="C13" s="32" t="n">
        <v>0.115</v>
      </c>
      <c r="D13" s="32" t="n">
        <v>0.165</v>
      </c>
      <c r="E13" s="33" t="n">
        <v>0.06</v>
      </c>
      <c r="F13" s="33" t="n">
        <v>0.3</v>
      </c>
      <c r="G13" s="33" t="n">
        <v>0.2</v>
      </c>
      <c r="H13" s="34" t="n">
        <v>2</v>
      </c>
      <c r="J13" s="33" t="n">
        <v>0.15</v>
      </c>
    </row>
    <row r="14" customFormat="false" ht="15" hidden="false" customHeight="false" outlineLevel="0" collapsed="false">
      <c r="B14" s="31" t="s">
        <v>59</v>
      </c>
      <c r="C14" s="32" t="n">
        <v>0.14</v>
      </c>
      <c r="D14" s="32" t="n">
        <v>0.19</v>
      </c>
      <c r="E14" s="33" t="n">
        <v>0.06</v>
      </c>
      <c r="F14" s="33" t="n">
        <v>0.3</v>
      </c>
      <c r="G14" s="33" t="n">
        <v>0.2</v>
      </c>
      <c r="H14" s="34" t="n">
        <v>2</v>
      </c>
      <c r="J14" s="33" t="n">
        <v>0.2</v>
      </c>
    </row>
    <row r="15" customFormat="false" ht="15" hidden="false" customHeight="false" outlineLevel="0" collapsed="false">
      <c r="B15" s="31" t="s">
        <v>60</v>
      </c>
      <c r="C15" s="32" t="n">
        <v>0.11</v>
      </c>
      <c r="D15" s="32" t="n">
        <v>0.16</v>
      </c>
      <c r="E15" s="33" t="n">
        <v>0.06</v>
      </c>
      <c r="F15" s="33" t="n">
        <v>0.3</v>
      </c>
      <c r="G15" s="33" t="n">
        <v>0.2</v>
      </c>
      <c r="H15" s="34" t="n">
        <v>2</v>
      </c>
      <c r="J15" s="33" t="n">
        <v>0.25</v>
      </c>
    </row>
    <row r="16" customFormat="false" ht="15" hidden="false" customHeight="false" outlineLevel="0" collapsed="false">
      <c r="B16" s="31" t="s">
        <v>61</v>
      </c>
      <c r="C16" s="32" t="n">
        <v>0.115</v>
      </c>
      <c r="D16" s="32" t="n">
        <v>0.165</v>
      </c>
      <c r="E16" s="33" t="n">
        <v>0.06</v>
      </c>
      <c r="F16" s="33" t="n">
        <v>0.3</v>
      </c>
      <c r="G16" s="33" t="n">
        <v>0.2</v>
      </c>
      <c r="H16" s="34" t="n">
        <v>2</v>
      </c>
      <c r="J16" s="33" t="n">
        <v>0.3</v>
      </c>
    </row>
    <row r="17" customFormat="false" ht="15" hidden="false" customHeight="false" outlineLevel="0" collapsed="false">
      <c r="B17" s="31" t="s">
        <v>62</v>
      </c>
      <c r="C17" s="32" t="n">
        <v>0.11</v>
      </c>
      <c r="D17" s="32" t="n">
        <v>0.16</v>
      </c>
      <c r="E17" s="33" t="n">
        <v>0.06</v>
      </c>
      <c r="F17" s="33" t="n">
        <v>0.3</v>
      </c>
      <c r="G17" s="33" t="n">
        <v>0.2</v>
      </c>
      <c r="H17" s="34" t="n">
        <v>2</v>
      </c>
      <c r="J17" s="33" t="n">
        <v>0.35</v>
      </c>
    </row>
    <row r="18" customFormat="false" ht="15" hidden="false" customHeight="false" outlineLevel="0" collapsed="false">
      <c r="B18" s="31" t="s">
        <v>63</v>
      </c>
      <c r="C18" s="32" t="n">
        <v>0.115</v>
      </c>
      <c r="D18" s="32" t="n">
        <v>0.165</v>
      </c>
      <c r="E18" s="33" t="n">
        <v>0.06</v>
      </c>
      <c r="F18" s="33" t="n">
        <v>0.3</v>
      </c>
      <c r="G18" s="33" t="n">
        <v>0.2</v>
      </c>
      <c r="H18" s="34" t="n">
        <v>2</v>
      </c>
      <c r="J18" s="33" t="n">
        <v>0.4</v>
      </c>
    </row>
    <row r="19" customFormat="false" ht="15" hidden="false" customHeight="false" outlineLevel="0" collapsed="false">
      <c r="B19" s="31" t="s">
        <v>64</v>
      </c>
      <c r="C19" s="32" t="n">
        <v>0.11</v>
      </c>
      <c r="D19" s="32" t="n">
        <v>0.16</v>
      </c>
      <c r="E19" s="33" t="n">
        <v>0.06</v>
      </c>
      <c r="F19" s="33" t="n">
        <v>0.3</v>
      </c>
      <c r="G19" s="33" t="n">
        <v>0.2</v>
      </c>
      <c r="H19" s="34" t="n">
        <v>2</v>
      </c>
      <c r="J19" s="33" t="n">
        <v>0.5</v>
      </c>
    </row>
    <row r="20" customFormat="false" ht="15" hidden="false" customHeight="false" outlineLevel="0" collapsed="false">
      <c r="B20" s="31" t="s">
        <v>5</v>
      </c>
      <c r="C20" s="32" t="n">
        <v>0.13</v>
      </c>
      <c r="D20" s="32" t="n">
        <v>0.18</v>
      </c>
      <c r="E20" s="33" t="n">
        <v>0.06</v>
      </c>
      <c r="F20" s="33" t="n">
        <v>0.3</v>
      </c>
      <c r="G20" s="33" t="n">
        <v>0.2</v>
      </c>
      <c r="H20" s="34" t="n">
        <v>2</v>
      </c>
      <c r="J20" s="33" t="n">
        <v>0.6</v>
      </c>
    </row>
    <row r="21" customFormat="false" ht="15" hidden="false" customHeight="false" outlineLevel="0" collapsed="false">
      <c r="B21" s="31" t="s">
        <v>65</v>
      </c>
      <c r="C21" s="32" t="n">
        <v>0.14</v>
      </c>
      <c r="D21" s="32" t="n">
        <v>0.19</v>
      </c>
      <c r="E21" s="33" t="n">
        <v>0.06</v>
      </c>
      <c r="F21" s="33" t="n">
        <v>0.3</v>
      </c>
      <c r="G21" s="33" t="n">
        <v>0.2</v>
      </c>
      <c r="H21" s="34" t="n">
        <v>2</v>
      </c>
      <c r="J21" s="28" t="s">
        <v>66</v>
      </c>
    </row>
    <row r="22" customFormat="false" ht="15" hidden="false" customHeight="false" outlineLevel="0" collapsed="false">
      <c r="B22" s="31" t="s">
        <v>67</v>
      </c>
      <c r="C22" s="32" t="n">
        <v>0.115</v>
      </c>
      <c r="D22" s="32" t="n">
        <v>0.165</v>
      </c>
      <c r="E22" s="33" t="n">
        <v>0.06</v>
      </c>
      <c r="F22" s="33" t="n">
        <v>0.3</v>
      </c>
      <c r="G22" s="33" t="n">
        <v>0.2</v>
      </c>
      <c r="H22" s="34" t="n">
        <v>2</v>
      </c>
    </row>
    <row r="23" customFormat="false" ht="15" hidden="false" customHeight="false" outlineLevel="0" collapsed="false">
      <c r="B23" s="31" t="s">
        <v>68</v>
      </c>
      <c r="C23" s="32" t="n">
        <v>0.13</v>
      </c>
      <c r="D23" s="32" t="n">
        <v>0.18</v>
      </c>
      <c r="E23" s="33" t="n">
        <v>0.06</v>
      </c>
      <c r="F23" s="33" t="n">
        <v>0.3</v>
      </c>
      <c r="G23" s="33" t="n">
        <v>0.2</v>
      </c>
      <c r="H23" s="34" t="n">
        <v>2</v>
      </c>
    </row>
    <row r="24" customFormat="false" ht="15" hidden="false" customHeight="false" outlineLevel="0" collapsed="false">
      <c r="B24" s="31" t="s">
        <v>69</v>
      </c>
      <c r="C24" s="32" t="n">
        <v>0.12</v>
      </c>
      <c r="D24" s="32" t="n">
        <v>0.17</v>
      </c>
      <c r="E24" s="33" t="n">
        <v>0.06</v>
      </c>
      <c r="F24" s="33" t="n">
        <v>0.3</v>
      </c>
      <c r="G24" s="33" t="n">
        <v>0.2</v>
      </c>
      <c r="H24" s="34" t="n">
        <v>2</v>
      </c>
    </row>
    <row r="25" customFormat="false" ht="15" hidden="false" customHeight="false" outlineLevel="0" collapsed="false">
      <c r="B25" s="31" t="s">
        <v>70</v>
      </c>
      <c r="C25" s="32" t="n">
        <v>0.11</v>
      </c>
      <c r="D25" s="32" t="n">
        <v>0.16</v>
      </c>
      <c r="E25" s="33" t="n">
        <v>0.06</v>
      </c>
      <c r="F25" s="33" t="n">
        <v>0.3</v>
      </c>
      <c r="G25" s="33" t="n">
        <v>0.2</v>
      </c>
      <c r="H25" s="34" t="n">
        <v>2</v>
      </c>
    </row>
    <row r="26" customFormat="false" ht="15" hidden="false" customHeight="false" outlineLevel="0" collapsed="false">
      <c r="B26" s="31" t="s">
        <v>71</v>
      </c>
      <c r="C26" s="32" t="n">
        <v>0.115</v>
      </c>
      <c r="D26" s="32" t="n">
        <v>0.165</v>
      </c>
      <c r="E26" s="33" t="n">
        <v>0.06</v>
      </c>
      <c r="F26" s="33" t="n">
        <v>0.3</v>
      </c>
      <c r="G26" s="33" t="n">
        <v>0.2</v>
      </c>
      <c r="H26" s="34" t="n">
        <v>2</v>
      </c>
    </row>
    <row r="27" customFormat="false" ht="15" hidden="false" customHeight="false" outlineLevel="0" collapsed="false">
      <c r="B27" s="31" t="s">
        <v>72</v>
      </c>
      <c r="C27" s="32" t="n">
        <v>0.125</v>
      </c>
      <c r="D27" s="32" t="n">
        <v>0.175</v>
      </c>
      <c r="E27" s="33" t="n">
        <v>0.06</v>
      </c>
      <c r="F27" s="33" t="n">
        <v>0.3</v>
      </c>
      <c r="G27" s="33" t="n">
        <v>0.2</v>
      </c>
      <c r="H27" s="34" t="n">
        <v>2</v>
      </c>
    </row>
    <row r="28" customFormat="false" ht="15" hidden="false" customHeight="false" outlineLevel="0" collapsed="false">
      <c r="B28" s="31" t="s">
        <v>73</v>
      </c>
      <c r="C28" s="32" t="n">
        <v>0.12</v>
      </c>
      <c r="D28" s="32" t="n">
        <v>0.17</v>
      </c>
      <c r="E28" s="33" t="n">
        <v>0.06</v>
      </c>
      <c r="F28" s="33" t="n">
        <v>0.3</v>
      </c>
      <c r="G28" s="33" t="n">
        <v>0.2</v>
      </c>
      <c r="H28" s="34" t="n">
        <v>2</v>
      </c>
    </row>
    <row r="29" customFormat="false" ht="15" hidden="false" customHeight="false" outlineLevel="0" collapsed="false">
      <c r="B29" s="31" t="s">
        <v>74</v>
      </c>
      <c r="C29" s="32" t="n">
        <v>0.12</v>
      </c>
      <c r="D29" s="32" t="n">
        <v>0.17</v>
      </c>
      <c r="E29" s="33" t="n">
        <v>0.06</v>
      </c>
      <c r="F29" s="33" t="n">
        <v>0.3</v>
      </c>
      <c r="G29" s="33" t="n">
        <v>0.2</v>
      </c>
      <c r="H29" s="34" t="n">
        <v>2</v>
      </c>
    </row>
    <row r="30" customFormat="false" ht="15" hidden="false" customHeight="false" outlineLevel="0" collapsed="false">
      <c r="B30" s="31" t="s">
        <v>75</v>
      </c>
      <c r="C30" s="32" t="n">
        <v>0.125</v>
      </c>
      <c r="D30" s="32" t="n">
        <v>0.175</v>
      </c>
      <c r="E30" s="33" t="n">
        <v>0.06</v>
      </c>
      <c r="F30" s="33" t="n">
        <v>0.3</v>
      </c>
      <c r="G30" s="33" t="n">
        <v>0.2</v>
      </c>
      <c r="H30" s="34" t="n">
        <v>2</v>
      </c>
    </row>
    <row r="31" customFormat="false" ht="15" hidden="false" customHeight="false" outlineLevel="0" collapsed="false">
      <c r="B31" s="31" t="s">
        <v>76</v>
      </c>
      <c r="C31" s="32" t="n">
        <v>0.12</v>
      </c>
      <c r="D31" s="32" t="n">
        <v>0.17</v>
      </c>
      <c r="E31" s="33" t="n">
        <v>0.06</v>
      </c>
      <c r="F31" s="33" t="n">
        <v>0.3</v>
      </c>
      <c r="G31" s="33" t="n">
        <v>0.2</v>
      </c>
      <c r="H31" s="34" t="n">
        <v>2</v>
      </c>
    </row>
    <row r="32" customFormat="false" ht="15" hidden="false" customHeight="false" outlineLevel="0" collapsed="false">
      <c r="B32" s="36"/>
      <c r="C32" s="32"/>
      <c r="D32" s="32"/>
      <c r="E32" s="32"/>
      <c r="F32" s="32"/>
      <c r="G32" s="32"/>
      <c r="H32" s="34"/>
    </row>
    <row r="33" customFormat="false" ht="15" hidden="false" customHeight="false" outlineLevel="0" collapsed="false">
      <c r="B33" s="36"/>
      <c r="C33" s="32"/>
      <c r="D33" s="32"/>
      <c r="E33" s="32"/>
      <c r="F33" s="32"/>
      <c r="G33" s="32"/>
      <c r="H33" s="34"/>
    </row>
    <row r="34" customFormat="false" ht="15" hidden="false" customHeight="false" outlineLevel="0" collapsed="false">
      <c r="B34" s="36"/>
      <c r="C34" s="32"/>
      <c r="D34" s="32"/>
      <c r="E34" s="32"/>
      <c r="F34" s="32"/>
      <c r="G34" s="32"/>
      <c r="H34" s="34"/>
    </row>
    <row r="35" customFormat="false" ht="15" hidden="false" customHeight="false" outlineLevel="0" collapsed="false">
      <c r="B35" s="36"/>
      <c r="C35" s="32"/>
      <c r="D35" s="32"/>
      <c r="E35" s="32"/>
      <c r="F35" s="32"/>
      <c r="G35" s="32"/>
      <c r="H35" s="34"/>
    </row>
    <row r="36" customFormat="false" ht="15" hidden="false" customHeight="false" outlineLevel="0" collapsed="false">
      <c r="B36" s="36"/>
      <c r="C36" s="32"/>
      <c r="D36" s="32"/>
      <c r="E36" s="32"/>
      <c r="F36" s="32"/>
      <c r="G36" s="32"/>
      <c r="H36" s="34"/>
    </row>
    <row r="37" customFormat="false" ht="15" hidden="false" customHeight="false" outlineLevel="0" collapsed="false">
      <c r="B37" s="28" t="s">
        <v>77</v>
      </c>
    </row>
    <row r="39" customFormat="false" ht="15" hidden="false" customHeight="true" outlineLevel="0" collapsed="false">
      <c r="B39" s="37" t="s">
        <v>78</v>
      </c>
      <c r="C39" s="37"/>
      <c r="D39" s="37"/>
      <c r="E39" s="37"/>
      <c r="F39" s="37"/>
      <c r="G39" s="37"/>
      <c r="H39" s="37"/>
    </row>
    <row r="40" customFormat="false" ht="30" hidden="false" customHeight="true" outlineLevel="0" collapsed="false">
      <c r="B40" s="38" t="s">
        <v>79</v>
      </c>
      <c r="C40" s="38"/>
      <c r="D40" s="38"/>
      <c r="E40" s="38"/>
      <c r="F40" s="38"/>
      <c r="G40" s="38"/>
      <c r="H40" s="38"/>
    </row>
    <row r="41" customFormat="false" ht="30" hidden="false" customHeight="true" outlineLevel="0" collapsed="false">
      <c r="B41" s="38" t="s">
        <v>80</v>
      </c>
      <c r="C41" s="38"/>
      <c r="D41" s="38"/>
      <c r="E41" s="38"/>
      <c r="F41" s="38"/>
      <c r="G41" s="38"/>
      <c r="H41" s="38"/>
    </row>
    <row r="42" customFormat="false" ht="30" hidden="false" customHeight="true" outlineLevel="0" collapsed="false">
      <c r="B42" s="38" t="s">
        <v>81</v>
      </c>
      <c r="C42" s="38"/>
      <c r="D42" s="38"/>
      <c r="E42" s="38"/>
      <c r="F42" s="38"/>
      <c r="G42" s="38"/>
      <c r="H42" s="38"/>
    </row>
  </sheetData>
  <mergeCells count="5">
    <mergeCell ref="J5:K5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2026-10-29T17:40:13Z</dcterms:created>
  <dc:creator>openpyxl</dc:creator>
  <dc:description/>
  <dc:language>en-US</dc:language>
  <cp:lastModifiedBy/>
  <dcterms:modified xsi:type="dcterms:W3CDTF">2026-10-29T17:40:13Z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